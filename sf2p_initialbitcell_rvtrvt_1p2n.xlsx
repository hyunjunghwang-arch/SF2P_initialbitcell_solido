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wang Hyunjung\Downloads\"/>
    </mc:Choice>
  </mc:AlternateContent>
  <xr:revisionPtr revIDLastSave="0" documentId="13_ncr:1_{BE7FFE5B-4CBB-456D-80B1-6E8E1063F509}" xr6:coauthVersionLast="47" xr6:coauthVersionMax="47" xr10:uidLastSave="{00000000-0000-0000-0000-000000000000}"/>
  <bookViews>
    <workbookView xWindow="-110" yWindow="-110" windowWidth="19420" windowHeight="11500" xr2:uid="{F0F17F37-E169-41FA-9580-FFFC773311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5" i="1" l="1"/>
  <c r="P14" i="1"/>
  <c r="P13" i="1"/>
  <c r="P12" i="1"/>
  <c r="O15" i="1"/>
  <c r="O14" i="1"/>
  <c r="O13" i="1"/>
  <c r="O12" i="1"/>
  <c r="N15" i="1"/>
  <c r="N14" i="1"/>
  <c r="N13" i="1"/>
  <c r="N12" i="1"/>
  <c r="M15" i="1"/>
  <c r="M14" i="1"/>
  <c r="M13" i="1"/>
  <c r="M12" i="1"/>
  <c r="L15" i="1"/>
  <c r="L14" i="1"/>
  <c r="L13" i="1"/>
  <c r="L12" i="1"/>
  <c r="L11" i="1"/>
  <c r="N11" i="1" s="1"/>
  <c r="P11" i="1" s="1"/>
  <c r="M11" i="1"/>
  <c r="O11" i="1"/>
  <c r="M10" i="1"/>
  <c r="O10" i="1" s="1"/>
  <c r="M9" i="1"/>
  <c r="O9" i="1" s="1"/>
  <c r="M8" i="1"/>
  <c r="O8" i="1" s="1"/>
  <c r="M7" i="1"/>
  <c r="O7" i="1" s="1"/>
  <c r="M6" i="1"/>
  <c r="O6" i="1" s="1"/>
  <c r="M5" i="1"/>
  <c r="O5" i="1" s="1"/>
  <c r="L10" i="1"/>
  <c r="N10" i="1" s="1"/>
  <c r="P10" i="1" s="1"/>
  <c r="L9" i="1"/>
  <c r="N9" i="1" s="1"/>
  <c r="P9" i="1" s="1"/>
  <c r="L8" i="1"/>
  <c r="N8" i="1" s="1"/>
  <c r="P8" i="1" s="1"/>
  <c r="L7" i="1"/>
  <c r="N7" i="1" s="1"/>
  <c r="P7" i="1" s="1"/>
  <c r="L6" i="1"/>
  <c r="N6" i="1" s="1"/>
  <c r="P6" i="1" s="1"/>
  <c r="L5" i="1"/>
  <c r="N5" i="1" s="1"/>
  <c r="P5" i="1" s="1"/>
  <c r="D5" i="1"/>
</calcChain>
</file>

<file path=xl/sharedStrings.xml><?xml version="1.0" encoding="utf-8"?>
<sst xmlns="http://schemas.openxmlformats.org/spreadsheetml/2006/main" count="19" uniqueCount="19">
  <si>
    <t>vdd</t>
  </si>
  <si>
    <t>vbstn</t>
  </si>
  <si>
    <t>vbstp</t>
  </si>
  <si>
    <t>vhold</t>
  </si>
  <si>
    <t>drt</t>
  </si>
  <si>
    <t>taccess</t>
  </si>
  <si>
    <t>temp</t>
  </si>
  <si>
    <t>width</t>
  </si>
  <si>
    <t>BL0_current @ rwl</t>
  </si>
  <si>
    <t>BL1_current @ rwl</t>
  </si>
  <si>
    <t>twrite</t>
  </si>
  <si>
    <t>VBL0_calculated</t>
  </si>
  <si>
    <t>VBL1_calculated</t>
  </si>
  <si>
    <t>BL0 voltage swing</t>
  </si>
  <si>
    <t>BL1 voltage swing</t>
  </si>
  <si>
    <t>BLM</t>
  </si>
  <si>
    <t>BL0 current target: 8.73e-06A</t>
  </si>
  <si>
    <t>BL1 current target: 34.91e-06A</t>
  </si>
  <si>
    <t>rvt+rvt ff125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</si>
</sst>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2A24-97D1-4261-BA50-BDD232CD30F1}">
  <dimension ref="A1:P19"/>
  <sheetViews>
    <sheetView tabSelected="1" topLeftCell="A7" zoomScaleNormal="100" workbookViewId="0">
      <selection activeCell="A18" sqref="A18:XFD19"/>
    </sheetView>
  </sheetViews>
  <sheetFormatPr defaultRowHeight="14.5" x14ac:dyDescent="0.35"/>
  <cols>
    <col min="10" max="10" width="19.26953125" customWidth="1"/>
    <col min="11" max="13" width="21.81640625" customWidth="1"/>
    <col min="14" max="14" width="18.26953125" customWidth="1"/>
    <col min="15" max="15" width="17.26953125" customWidth="1"/>
    <col min="16" max="16" width="13.36328125" customWidth="1"/>
  </cols>
  <sheetData>
    <row r="1" spans="1:16" x14ac:dyDescent="0.35">
      <c r="A1" t="s">
        <v>18</v>
      </c>
    </row>
    <row r="2" spans="1:16" x14ac:dyDescent="0.35">
      <c r="A2" t="s">
        <v>16</v>
      </c>
    </row>
    <row r="3" spans="1:16" x14ac:dyDescent="0.35">
      <c r="A3" t="s">
        <v>17</v>
      </c>
    </row>
    <row r="4" spans="1:16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10</v>
      </c>
      <c r="H4" t="s">
        <v>6</v>
      </c>
      <c r="I4" t="s">
        <v>7</v>
      </c>
      <c r="J4" t="s">
        <v>8</v>
      </c>
      <c r="K4" t="s">
        <v>9</v>
      </c>
      <c r="L4" t="s">
        <v>13</v>
      </c>
      <c r="M4" t="s">
        <v>14</v>
      </c>
      <c r="N4" t="s">
        <v>11</v>
      </c>
      <c r="O4" t="s">
        <v>12</v>
      </c>
      <c r="P4" t="s">
        <v>15</v>
      </c>
    </row>
    <row r="5" spans="1:16" x14ac:dyDescent="0.35">
      <c r="A5">
        <v>0.77</v>
      </c>
      <c r="B5">
        <v>0</v>
      </c>
      <c r="C5">
        <v>0.77</v>
      </c>
      <c r="D5">
        <f>A5/2</f>
        <v>0.38500000000000001</v>
      </c>
      <c r="E5" s="1">
        <v>5.0000000000000004E-6</v>
      </c>
      <c r="F5" s="1">
        <v>3E-10</v>
      </c>
      <c r="G5" s="1">
        <v>3E-10</v>
      </c>
      <c r="H5">
        <v>125</v>
      </c>
      <c r="I5" s="1">
        <v>2.4999999999999999E-8</v>
      </c>
      <c r="J5" s="1">
        <v>2.1990000000000001E-5</v>
      </c>
      <c r="K5" s="1">
        <v>9.6760000000000002E-6</v>
      </c>
      <c r="L5" s="1">
        <f>J5*(F5/0.000000000000017)</f>
        <v>0.38805882352941179</v>
      </c>
      <c r="M5" s="1">
        <f>K5*(F5/0.000000000000017)</f>
        <v>0.17075294117647061</v>
      </c>
      <c r="N5" s="1">
        <f>A5-L5</f>
        <v>0.38194117647058823</v>
      </c>
      <c r="O5" s="1">
        <f>A5-M5</f>
        <v>0.59924705882352947</v>
      </c>
      <c r="P5" s="1">
        <f>N5-O5</f>
        <v>-0.21730588235294124</v>
      </c>
    </row>
    <row r="6" spans="1:16" x14ac:dyDescent="0.35">
      <c r="A6">
        <v>0.77</v>
      </c>
      <c r="B6">
        <v>0</v>
      </c>
      <c r="C6">
        <v>0.87</v>
      </c>
      <c r="D6">
        <v>0.38500000000000001</v>
      </c>
      <c r="E6" s="1">
        <v>5.0000000000000004E-6</v>
      </c>
      <c r="F6" s="1">
        <v>3E-10</v>
      </c>
      <c r="G6" s="1">
        <v>3E-10</v>
      </c>
      <c r="H6">
        <v>125</v>
      </c>
      <c r="I6" s="1">
        <v>2.4999999999999999E-8</v>
      </c>
      <c r="J6" s="1">
        <v>2.8419999999999999E-5</v>
      </c>
      <c r="K6" s="1">
        <v>1.331E-5</v>
      </c>
      <c r="L6" s="1">
        <f>J6*(F6/0.000000000000017)</f>
        <v>0.50152941176470589</v>
      </c>
      <c r="M6" s="1">
        <f t="shared" ref="M6:M15" si="0">K6*(F6/0.000000000000017)</f>
        <v>0.23488235294117649</v>
      </c>
      <c r="N6" s="1">
        <f t="shared" ref="N6:N15" si="1">A6-L6</f>
        <v>0.26847058823529413</v>
      </c>
      <c r="O6" s="1">
        <f t="shared" ref="O6:O15" si="2">A6-M6</f>
        <v>0.53511764705882348</v>
      </c>
      <c r="P6" s="1">
        <f t="shared" ref="P6:P9" si="3">N6-O6</f>
        <v>-0.26664705882352935</v>
      </c>
    </row>
    <row r="7" spans="1:16" x14ac:dyDescent="0.35">
      <c r="A7">
        <v>0.77</v>
      </c>
      <c r="B7">
        <v>0</v>
      </c>
      <c r="C7">
        <v>0.97</v>
      </c>
      <c r="D7">
        <v>0.38500000000000001</v>
      </c>
      <c r="E7" s="1">
        <v>5.0000000000000004E-6</v>
      </c>
      <c r="F7" s="1">
        <v>3E-10</v>
      </c>
      <c r="G7" s="1">
        <v>3E-10</v>
      </c>
      <c r="H7">
        <v>125</v>
      </c>
      <c r="I7" s="1">
        <v>2.4999999999999999E-8</v>
      </c>
      <c r="J7" s="1">
        <v>3.5769999999999998E-5</v>
      </c>
      <c r="K7" s="1">
        <v>1.5319999999999999E-5</v>
      </c>
      <c r="L7" s="1">
        <f t="shared" ref="L7:L15" si="4">J7*(F7/0.000000000000017)</f>
        <v>0.63123529411764701</v>
      </c>
      <c r="M7" s="1">
        <f t="shared" si="0"/>
        <v>0.27035294117647057</v>
      </c>
      <c r="N7" s="1">
        <f t="shared" si="1"/>
        <v>0.13876470588235301</v>
      </c>
      <c r="O7" s="1">
        <f t="shared" si="2"/>
        <v>0.49964705882352944</v>
      </c>
      <c r="P7" s="1">
        <f t="shared" si="3"/>
        <v>-0.36088235294117643</v>
      </c>
    </row>
    <row r="8" spans="1:16" x14ac:dyDescent="0.35">
      <c r="A8">
        <v>0.77</v>
      </c>
      <c r="B8">
        <v>-0.1</v>
      </c>
      <c r="C8">
        <v>0.77</v>
      </c>
      <c r="D8">
        <v>0.38500000000000001</v>
      </c>
      <c r="E8" s="1">
        <v>5.0000000000000004E-6</v>
      </c>
      <c r="F8" s="1">
        <v>3E-10</v>
      </c>
      <c r="G8" s="1">
        <v>3E-10</v>
      </c>
      <c r="H8">
        <v>125</v>
      </c>
      <c r="I8" s="1">
        <v>2.4999999999999999E-8</v>
      </c>
      <c r="J8" s="1">
        <v>2.105E-5</v>
      </c>
      <c r="K8" s="1">
        <v>9.6660000000000003E-6</v>
      </c>
      <c r="L8" s="1">
        <f t="shared" si="4"/>
        <v>0.37147058823529416</v>
      </c>
      <c r="M8" s="1">
        <f t="shared" si="0"/>
        <v>0.1705764705882353</v>
      </c>
      <c r="N8" s="1">
        <f t="shared" si="1"/>
        <v>0.39852941176470585</v>
      </c>
      <c r="O8" s="1">
        <f t="shared" si="2"/>
        <v>0.59942352941176469</v>
      </c>
      <c r="P8" s="1">
        <f t="shared" si="3"/>
        <v>-0.20089411764705883</v>
      </c>
    </row>
    <row r="9" spans="1:16" x14ac:dyDescent="0.35">
      <c r="A9">
        <v>0.77</v>
      </c>
      <c r="B9">
        <v>-0.2</v>
      </c>
      <c r="C9">
        <v>0.77</v>
      </c>
      <c r="D9">
        <v>0.38500000000000001</v>
      </c>
      <c r="E9" s="1">
        <v>5.0000000000000004E-6</v>
      </c>
      <c r="F9" s="1">
        <v>3E-10</v>
      </c>
      <c r="G9" s="1">
        <v>3E-10</v>
      </c>
      <c r="H9">
        <v>125</v>
      </c>
      <c r="I9" s="1">
        <v>2.4999999999999999E-8</v>
      </c>
      <c r="J9" s="1">
        <v>2.0429999999999999E-5</v>
      </c>
      <c r="K9" s="1">
        <v>9.6800000000000005E-6</v>
      </c>
      <c r="L9" s="1">
        <f t="shared" si="4"/>
        <v>0.36052941176470588</v>
      </c>
      <c r="M9" s="1">
        <f t="shared" si="0"/>
        <v>0.17082352941176474</v>
      </c>
      <c r="N9" s="1">
        <f t="shared" si="1"/>
        <v>0.40947058823529414</v>
      </c>
      <c r="O9" s="1">
        <f t="shared" si="2"/>
        <v>0.59917647058823531</v>
      </c>
      <c r="P9" s="1">
        <f t="shared" si="3"/>
        <v>-0.18970588235294117</v>
      </c>
    </row>
    <row r="10" spans="1:16" ht="14" customHeight="1" x14ac:dyDescent="0.35">
      <c r="A10">
        <v>0.77</v>
      </c>
      <c r="B10">
        <v>0</v>
      </c>
      <c r="C10">
        <v>0.97</v>
      </c>
      <c r="D10">
        <v>0.38500000000000001</v>
      </c>
      <c r="E10" s="1">
        <v>9.9999999999999995E-7</v>
      </c>
      <c r="F10" s="1">
        <v>3E-10</v>
      </c>
      <c r="G10" s="1">
        <v>3E-10</v>
      </c>
      <c r="H10">
        <v>125</v>
      </c>
      <c r="I10" s="1">
        <v>2.4999999999999999E-8</v>
      </c>
      <c r="J10" s="1">
        <v>3.2709999999999997E-5</v>
      </c>
      <c r="K10" s="1">
        <v>3.6130000000000001E-5</v>
      </c>
      <c r="L10" s="1">
        <f t="shared" si="4"/>
        <v>0.57723529411764707</v>
      </c>
      <c r="M10" s="1">
        <f t="shared" si="0"/>
        <v>0.63758823529411768</v>
      </c>
      <c r="N10" s="1">
        <f t="shared" si="1"/>
        <v>0.19276470588235295</v>
      </c>
      <c r="O10" s="1">
        <f t="shared" si="2"/>
        <v>0.13241176470588234</v>
      </c>
      <c r="P10" s="1">
        <f>N10-O10</f>
        <v>6.0352941176470609E-2</v>
      </c>
    </row>
    <row r="11" spans="1:16" x14ac:dyDescent="0.35">
      <c r="A11">
        <v>0.77</v>
      </c>
      <c r="B11">
        <v>0</v>
      </c>
      <c r="C11">
        <v>0.77</v>
      </c>
      <c r="D11">
        <v>0.38500000000000001</v>
      </c>
      <c r="E11" s="1">
        <v>9.9999999999999995E-7</v>
      </c>
      <c r="F11" s="1">
        <v>3E-10</v>
      </c>
      <c r="G11" s="1">
        <v>3E-10</v>
      </c>
      <c r="H11">
        <v>125</v>
      </c>
      <c r="I11" s="1">
        <v>2.4999999999999999E-8</v>
      </c>
      <c r="J11" s="1">
        <v>2.0259999999999999E-5</v>
      </c>
      <c r="K11" s="1">
        <v>2.3450000000000001E-5</v>
      </c>
      <c r="L11" s="1">
        <f t="shared" si="4"/>
        <v>0.35752941176470587</v>
      </c>
      <c r="M11" s="1">
        <f t="shared" si="0"/>
        <v>0.41382352941176476</v>
      </c>
      <c r="N11" s="1">
        <f t="shared" si="1"/>
        <v>0.41247058823529414</v>
      </c>
      <c r="O11" s="1">
        <f t="shared" si="2"/>
        <v>0.35617647058823526</v>
      </c>
      <c r="P11" s="1">
        <f>N11-O11</f>
        <v>5.6294117647058883E-2</v>
      </c>
    </row>
    <row r="12" spans="1:16" x14ac:dyDescent="0.35">
      <c r="A12">
        <v>0.77</v>
      </c>
      <c r="B12">
        <v>0</v>
      </c>
      <c r="C12">
        <v>0.77</v>
      </c>
      <c r="D12">
        <v>0.38500000000000001</v>
      </c>
      <c r="E12" s="1">
        <v>5.0000000000000004E-6</v>
      </c>
      <c r="F12" s="1">
        <v>3E-10</v>
      </c>
      <c r="G12" s="1">
        <v>3E-10</v>
      </c>
      <c r="H12">
        <v>125</v>
      </c>
      <c r="I12" s="1">
        <v>1.4999999999999999E-8</v>
      </c>
      <c r="J12" s="1">
        <v>1.715E-5</v>
      </c>
      <c r="K12" s="1">
        <v>8.1149999999999994E-6</v>
      </c>
      <c r="L12" s="1">
        <f t="shared" si="4"/>
        <v>0.30264705882352944</v>
      </c>
      <c r="M12" s="1">
        <f t="shared" si="0"/>
        <v>0.14320588235294118</v>
      </c>
      <c r="N12" s="1">
        <f t="shared" si="1"/>
        <v>0.46735294117647058</v>
      </c>
      <c r="O12" s="1">
        <f t="shared" si="2"/>
        <v>0.62679411764705883</v>
      </c>
      <c r="P12" s="1">
        <f t="shared" ref="P12:P15" si="5">N12-O12</f>
        <v>-0.15944117647058825</v>
      </c>
    </row>
    <row r="13" spans="1:16" x14ac:dyDescent="0.35">
      <c r="A13">
        <v>0.77</v>
      </c>
      <c r="B13">
        <v>0</v>
      </c>
      <c r="C13">
        <v>0.87</v>
      </c>
      <c r="D13">
        <v>0.38500000000000001</v>
      </c>
      <c r="E13" s="1">
        <v>5.0000000000000004E-6</v>
      </c>
      <c r="F13" s="1">
        <v>3E-10</v>
      </c>
      <c r="G13" s="1">
        <v>3E-10</v>
      </c>
      <c r="H13">
        <v>125</v>
      </c>
      <c r="I13" s="1">
        <v>1.4999999999999999E-8</v>
      </c>
      <c r="J13" s="1">
        <v>2.1880000000000001E-5</v>
      </c>
      <c r="K13" s="1">
        <v>1.183E-5</v>
      </c>
      <c r="L13" s="1">
        <f t="shared" si="4"/>
        <v>0.38611764705882357</v>
      </c>
      <c r="M13" s="1">
        <f t="shared" si="0"/>
        <v>0.20876470588235296</v>
      </c>
      <c r="N13" s="1">
        <f t="shared" si="1"/>
        <v>0.38388235294117645</v>
      </c>
      <c r="O13" s="1">
        <f t="shared" si="2"/>
        <v>0.56123529411764705</v>
      </c>
      <c r="P13" s="1">
        <f t="shared" si="5"/>
        <v>-0.1773529411764706</v>
      </c>
    </row>
    <row r="14" spans="1:16" x14ac:dyDescent="0.35">
      <c r="A14">
        <v>0.77</v>
      </c>
      <c r="B14">
        <v>0</v>
      </c>
      <c r="C14">
        <v>0.97</v>
      </c>
      <c r="D14">
        <v>0.38500000000000001</v>
      </c>
      <c r="E14" s="1">
        <v>5.0000000000000004E-6</v>
      </c>
      <c r="F14" s="1">
        <v>3E-10</v>
      </c>
      <c r="G14" s="1">
        <v>3E-10</v>
      </c>
      <c r="H14">
        <v>125</v>
      </c>
      <c r="I14" s="1">
        <v>1.4999999999999999E-8</v>
      </c>
      <c r="J14" s="1">
        <v>2.728E-5</v>
      </c>
      <c r="K14" s="1">
        <v>1.4070000000000001E-5</v>
      </c>
      <c r="L14" s="1">
        <f t="shared" si="4"/>
        <v>0.48141176470588237</v>
      </c>
      <c r="M14" s="1">
        <f t="shared" si="0"/>
        <v>0.24829411764705886</v>
      </c>
      <c r="N14" s="1">
        <f t="shared" si="1"/>
        <v>0.28858823529411765</v>
      </c>
      <c r="O14" s="1">
        <f t="shared" si="2"/>
        <v>0.52170588235294113</v>
      </c>
      <c r="P14" s="1">
        <f t="shared" si="5"/>
        <v>-0.23311764705882349</v>
      </c>
    </row>
    <row r="15" spans="1:16" x14ac:dyDescent="0.35">
      <c r="A15">
        <v>0.77</v>
      </c>
      <c r="B15">
        <v>0</v>
      </c>
      <c r="C15">
        <v>0.77</v>
      </c>
      <c r="D15">
        <v>0.38500000000000001</v>
      </c>
      <c r="E15" s="1">
        <v>9.9999999999999995E-7</v>
      </c>
      <c r="F15" s="1">
        <v>3E-10</v>
      </c>
      <c r="G15" s="1">
        <v>3E-10</v>
      </c>
      <c r="H15">
        <v>125</v>
      </c>
      <c r="I15" s="1">
        <v>1.4999999999999999E-8</v>
      </c>
      <c r="J15" s="1">
        <v>1.5909999999999998E-5</v>
      </c>
      <c r="K15" s="1">
        <v>1.7629999999999999E-5</v>
      </c>
      <c r="L15" s="1">
        <f t="shared" si="4"/>
        <v>0.28076470588235292</v>
      </c>
      <c r="M15" s="1">
        <f t="shared" si="0"/>
        <v>0.3111176470588235</v>
      </c>
      <c r="N15" s="1">
        <f t="shared" si="1"/>
        <v>0.4892352941176471</v>
      </c>
      <c r="O15" s="1">
        <f t="shared" si="2"/>
        <v>0.45888235294117652</v>
      </c>
      <c r="P15" s="1">
        <f t="shared" si="5"/>
        <v>3.0352941176470583E-2</v>
      </c>
    </row>
    <row r="16" spans="1:16" x14ac:dyDescent="0.35">
      <c r="E16" s="1"/>
      <c r="F16" s="1"/>
      <c r="G16" s="1"/>
      <c r="I16" s="1"/>
    </row>
    <row r="19" spans="5:11" x14ac:dyDescent="0.35">
      <c r="E19" s="1"/>
      <c r="F19" s="1"/>
      <c r="G19" s="1"/>
      <c r="I19" s="1"/>
      <c r="K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Hyunjung Hwang</dc:creator>
  <cp:lastModifiedBy>Hyunjung Hwang</cp:lastModifiedBy>
  <dcterms:created xsi:type="dcterms:W3CDTF">2026-08-12T07:03:37Z</dcterms:created>
  <dcterms:modified xsi:type="dcterms:W3CDTF">2026-08-12T12:55:36Z</dcterms:modified>
</cp:coreProperties>
</file>