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wang Hyunjung\Downloads\"/>
    </mc:Choice>
  </mc:AlternateContent>
  <xr:revisionPtr revIDLastSave="0" documentId="13_ncr:9_{5BF47DC5-3E9F-4B79-8724-810F402AFF54}" xr6:coauthVersionLast="47" xr6:coauthVersionMax="47" xr10:uidLastSave="{00000000-0000-0000-0000-000000000000}"/>
  <bookViews>
    <workbookView xWindow="-110" yWindow="-110" windowWidth="19420" windowHeight="11500" xr2:uid="{437015C3-05FC-45E7-A16B-F87877C6BFE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P7" i="1" l="1"/>
  <c r="P8" i="1"/>
  <c r="O8" i="1"/>
  <c r="O7" i="1"/>
  <c r="N8" i="1"/>
  <c r="N7" i="1"/>
  <c r="M8" i="1"/>
  <c r="M7" i="1"/>
  <c r="L8" i="1"/>
  <c r="L7" i="1"/>
  <c r="P6" i="1"/>
  <c r="O6" i="1"/>
  <c r="N6" i="1"/>
  <c r="M6" i="1"/>
  <c r="L6" i="1"/>
  <c r="P5" i="1"/>
  <c r="O5" i="1"/>
  <c r="N5" i="1"/>
  <c r="M5" i="1"/>
  <c r="L5" i="1"/>
</calcChain>
</file>

<file path=xl/sharedStrings.xml><?xml version="1.0" encoding="utf-8"?>
<sst xmlns="http://schemas.openxmlformats.org/spreadsheetml/2006/main" count="19" uniqueCount="19">
  <si>
    <t>BL0 current target: 8.73e-06A</t>
  </si>
  <si>
    <t>BL1 current target: 34.91e-06A</t>
  </si>
  <si>
    <t>hvt+rvt ff125 result</t>
  </si>
  <si>
    <t>vdd</t>
  </si>
  <si>
    <t>vbstn</t>
  </si>
  <si>
    <t>vbstp</t>
  </si>
  <si>
    <t>vhold</t>
  </si>
  <si>
    <t>drt</t>
  </si>
  <si>
    <t>taccess</t>
  </si>
  <si>
    <t>twrite</t>
  </si>
  <si>
    <t>temp</t>
  </si>
  <si>
    <t>width</t>
  </si>
  <si>
    <t>BL0_current @ rwl</t>
  </si>
  <si>
    <t>BL1_current @ rwl</t>
  </si>
  <si>
    <t>BL0 voltage swing</t>
  </si>
  <si>
    <t>BL1 voltage swing</t>
  </si>
  <si>
    <t>VBL0_calculated</t>
  </si>
  <si>
    <t>VBL1_calculated</t>
  </si>
  <si>
    <t>BLM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</si>
</sst>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46FC97-F7E8-4293-880C-829EC8F1D95B}">
  <dimension ref="A1:P10"/>
  <sheetViews>
    <sheetView tabSelected="1" zoomScale="85" zoomScaleNormal="85" workbookViewId="0">
      <selection activeCell="F11" sqref="F11"/>
    </sheetView>
  </sheetViews>
  <sheetFormatPr defaultRowHeight="14.5" x14ac:dyDescent="0.35"/>
  <cols>
    <col min="10" max="10" width="17.7265625" customWidth="1"/>
    <col min="11" max="11" width="19.36328125" customWidth="1"/>
    <col min="12" max="12" width="18.81640625" customWidth="1"/>
    <col min="13" max="13" width="18.26953125" customWidth="1"/>
    <col min="14" max="14" width="15" customWidth="1"/>
    <col min="16" max="16" width="13.36328125" customWidth="1"/>
  </cols>
  <sheetData>
    <row r="1" spans="1:16" x14ac:dyDescent="0.35">
      <c r="A1" t="s">
        <v>2</v>
      </c>
    </row>
    <row r="2" spans="1:16" x14ac:dyDescent="0.35">
      <c r="A2" t="s">
        <v>0</v>
      </c>
    </row>
    <row r="3" spans="1:16" x14ac:dyDescent="0.35">
      <c r="A3" t="s">
        <v>1</v>
      </c>
    </row>
    <row r="4" spans="1:16" x14ac:dyDescent="0.35">
      <c r="A4" t="s">
        <v>3</v>
      </c>
      <c r="B4" t="s">
        <v>4</v>
      </c>
      <c r="C4" t="s">
        <v>5</v>
      </c>
      <c r="D4" t="s">
        <v>6</v>
      </c>
      <c r="E4" t="s">
        <v>7</v>
      </c>
      <c r="F4" t="s">
        <v>8</v>
      </c>
      <c r="G4" t="s">
        <v>9</v>
      </c>
      <c r="H4" t="s">
        <v>10</v>
      </c>
      <c r="I4" t="s">
        <v>11</v>
      </c>
      <c r="J4" t="s">
        <v>12</v>
      </c>
      <c r="K4" t="s">
        <v>13</v>
      </c>
      <c r="L4" t="s">
        <v>14</v>
      </c>
      <c r="M4" t="s">
        <v>15</v>
      </c>
      <c r="N4" t="s">
        <v>16</v>
      </c>
      <c r="O4" t="s">
        <v>17</v>
      </c>
      <c r="P4" t="s">
        <v>18</v>
      </c>
    </row>
    <row r="5" spans="1:16" x14ac:dyDescent="0.35">
      <c r="A5">
        <v>0.77</v>
      </c>
      <c r="B5">
        <v>0</v>
      </c>
      <c r="C5">
        <v>0.97</v>
      </c>
      <c r="D5">
        <v>0.38500000000000001</v>
      </c>
      <c r="E5" s="1">
        <v>9.9999999999999995E-7</v>
      </c>
      <c r="F5" s="1">
        <v>3E-10</v>
      </c>
      <c r="G5" s="1">
        <v>3E-10</v>
      </c>
      <c r="H5">
        <v>125</v>
      </c>
      <c r="I5" s="1">
        <v>2.4999999999999999E-8</v>
      </c>
      <c r="J5" s="1">
        <v>3.447E-5</v>
      </c>
      <c r="K5" s="1">
        <v>3.7389999999999999E-5</v>
      </c>
      <c r="L5" s="1">
        <f>J5*(F5/0.000000000000017)</f>
        <v>0.60829411764705887</v>
      </c>
      <c r="M5" s="1">
        <f>K5*(F5/0.000000000000017)</f>
        <v>0.6598235294117647</v>
      </c>
      <c r="N5" s="1">
        <f>A5-L5</f>
        <v>0.16170588235294114</v>
      </c>
      <c r="O5" s="1">
        <f>A5-M5</f>
        <v>0.11017647058823532</v>
      </c>
      <c r="P5" s="1">
        <f>N5-O5</f>
        <v>5.1529411764705824E-2</v>
      </c>
    </row>
    <row r="6" spans="1:16" x14ac:dyDescent="0.35">
      <c r="A6">
        <v>0.77</v>
      </c>
      <c r="B6">
        <v>0</v>
      </c>
      <c r="C6">
        <v>0.77</v>
      </c>
      <c r="D6">
        <v>0.38500000000000001</v>
      </c>
      <c r="E6" s="1">
        <v>9.9999999999999995E-7</v>
      </c>
      <c r="F6" s="1">
        <v>3E-10</v>
      </c>
      <c r="G6" s="1">
        <v>3E-10</v>
      </c>
      <c r="H6">
        <v>125</v>
      </c>
      <c r="I6" s="1">
        <v>2.4999999999999999E-8</v>
      </c>
      <c r="J6" s="1">
        <v>2.1080000000000001E-5</v>
      </c>
      <c r="K6" s="1">
        <v>2.7900000000000001E-5</v>
      </c>
      <c r="L6" s="1">
        <f>J6*(F6/0.000000000000017)</f>
        <v>0.37200000000000005</v>
      </c>
      <c r="M6" s="1">
        <f>K6*(F6/0.000000000000017)</f>
        <v>0.4923529411764706</v>
      </c>
      <c r="N6" s="1">
        <f>A6-L6</f>
        <v>0.39799999999999996</v>
      </c>
      <c r="O6" s="1">
        <f>A6-M6</f>
        <v>0.27764705882352941</v>
      </c>
      <c r="P6" s="1">
        <f>N6-O6</f>
        <v>0.12035294117647055</v>
      </c>
    </row>
    <row r="7" spans="1:16" x14ac:dyDescent="0.35">
      <c r="A7">
        <v>0.77</v>
      </c>
      <c r="B7">
        <v>0</v>
      </c>
      <c r="C7">
        <v>0.77</v>
      </c>
      <c r="D7">
        <v>0.38500000000000001</v>
      </c>
      <c r="E7" s="1">
        <v>3.0000000000000001E-6</v>
      </c>
      <c r="F7" s="1">
        <v>3E-10</v>
      </c>
      <c r="G7" s="1">
        <v>3E-10</v>
      </c>
      <c r="H7">
        <v>125</v>
      </c>
      <c r="I7" s="1">
        <v>2.4999999999999999E-8</v>
      </c>
      <c r="J7" s="1">
        <v>2.2289999999999998E-5</v>
      </c>
      <c r="K7" s="1">
        <v>1.677E-5</v>
      </c>
      <c r="L7" s="1">
        <f t="shared" ref="L7:L8" si="0">J7*(F7/0.000000000000017)</f>
        <v>0.39335294117647057</v>
      </c>
      <c r="M7" s="1">
        <f t="shared" ref="M7:M8" si="1">K7*(F7/0.000000000000017)</f>
        <v>0.29594117647058826</v>
      </c>
      <c r="N7" s="1">
        <f t="shared" ref="N7:N8" si="2">A7-L7</f>
        <v>0.37664705882352945</v>
      </c>
      <c r="O7" s="1">
        <f t="shared" ref="O7:O8" si="3">A7-M7</f>
        <v>0.47405882352941175</v>
      </c>
      <c r="P7" s="1">
        <f>N7-O7</f>
        <v>-9.7411764705882309E-2</v>
      </c>
    </row>
    <row r="8" spans="1:16" x14ac:dyDescent="0.35">
      <c r="A8">
        <v>0.77</v>
      </c>
      <c r="B8">
        <v>0</v>
      </c>
      <c r="C8">
        <v>0.77</v>
      </c>
      <c r="D8">
        <v>0.38500000000000001</v>
      </c>
      <c r="E8" s="1">
        <v>5.0000000000000004E-6</v>
      </c>
      <c r="F8" s="1">
        <v>3E-10</v>
      </c>
      <c r="G8" s="1">
        <v>3E-10</v>
      </c>
      <c r="H8">
        <v>125</v>
      </c>
      <c r="I8" s="1">
        <v>2.4999999999999999E-8</v>
      </c>
      <c r="J8" s="1">
        <v>2.2650000000000002E-5</v>
      </c>
      <c r="K8" s="1">
        <v>1.1199999999999999E-5</v>
      </c>
      <c r="L8" s="1">
        <f t="shared" si="0"/>
        <v>0.39970588235294124</v>
      </c>
      <c r="M8" s="1">
        <f t="shared" si="1"/>
        <v>0.19764705882352943</v>
      </c>
      <c r="N8" s="1">
        <f t="shared" si="2"/>
        <v>0.37029411764705877</v>
      </c>
      <c r="O8" s="1">
        <f t="shared" si="3"/>
        <v>0.57235294117647062</v>
      </c>
      <c r="P8" s="1">
        <f>N8-O8</f>
        <v>-0.20205882352941185</v>
      </c>
    </row>
    <row r="9" spans="1:16" x14ac:dyDescent="0.35">
      <c r="E9" s="1"/>
      <c r="F9" s="1"/>
      <c r="G9" s="1"/>
      <c r="I9" s="1"/>
    </row>
    <row r="10" spans="1:16" x14ac:dyDescent="0.35">
      <c r="E10" s="1"/>
      <c r="F10" s="1"/>
      <c r="G10" s="1"/>
      <c r="I1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Hyunjung Hwang</dc:creator>
  <cp:lastModifiedBy>Hyunjung Hwang</cp:lastModifiedBy>
  <dcterms:created xsi:type="dcterms:W3CDTF">2026-08-12T12:53:50Z</dcterms:created>
  <dcterms:modified xsi:type="dcterms:W3CDTF">2026-08-12T19:38:45Z</dcterms:modified>
</cp:coreProperties>
</file>